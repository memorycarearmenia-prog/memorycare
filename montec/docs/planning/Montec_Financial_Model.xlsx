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Unit Economics" sheetId="3" state="visible" r:id="rId3"/>
    <sheet xmlns:r="http://schemas.openxmlformats.org/officeDocument/2006/relationships" name="Startup Capital" sheetId="4" state="visible" r:id="rId4"/>
    <sheet xmlns:r="http://schemas.openxmlformats.org/officeDocument/2006/relationships" name="Revenue Build" sheetId="5" state="visible" r:id="rId5"/>
    <sheet xmlns:r="http://schemas.openxmlformats.org/officeDocument/2006/relationships" name="P&amp;L 3-Year" sheetId="6" state="visible" r:id="rId6"/>
    <sheet xmlns:r="http://schemas.openxmlformats.org/officeDocument/2006/relationships" name="Cash Flow Y1" sheetId="7" state="visible" r:id="rId7"/>
    <sheet xmlns:r="http://schemas.openxmlformats.org/officeDocument/2006/relationships" name="Break-even &amp; Scen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b val="1"/>
      <sz val="28"/>
    </font>
    <font>
      <sz val="16"/>
    </font>
    <font>
      <i val="1"/>
      <color rgb="00666666"/>
    </font>
    <font>
      <b val="1"/>
    </font>
    <font>
      <b val="1"/>
      <color rgb="001B4F8C"/>
    </font>
    <font>
      <b val="1"/>
      <color rgb="00B8860B"/>
    </font>
    <font>
      <b val="1"/>
      <sz val="16"/>
    </font>
    <font>
      <color rgb="001B7A3D"/>
    </font>
    <font>
      <b val="1"/>
      <color rgb="00FFFFFF"/>
    </font>
    <font>
      <i val="1"/>
      <color rgb="00B8860B"/>
    </font>
    <font>
      <i val="1"/>
    </font>
  </fonts>
  <fills count="5">
    <fill>
      <patternFill/>
    </fill>
    <fill>
      <patternFill patternType="gray125"/>
    </fill>
    <fill>
      <patternFill patternType="solid">
        <fgColor rgb="00D9E6F5"/>
      </patternFill>
    </fill>
    <fill>
      <patternFill patternType="solid">
        <fgColor rgb="00FFF3C4"/>
      </patternFill>
    </fill>
    <fill>
      <patternFill patternType="solid">
        <fgColor rgb="002B2B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164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9" fontId="0" fillId="2" borderId="0" pivotButton="0" quotePrefix="0" xfId="0"/>
    <xf numFmtId="9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MONTEC</t>
        </is>
      </c>
    </row>
    <row r="2">
      <c r="A2" s="2" t="inlineStr">
        <is>
          <t>Financial Model — 13-SKU Edition (AMD)</t>
        </is>
      </c>
    </row>
    <row r="4">
      <c r="A4" t="inlineStr">
        <is>
          <t>Quiet-luxury leather accessories · Batch 001 · Armenia &amp; the Armenian diaspora</t>
        </is>
      </c>
    </row>
    <row r="5">
      <c r="A5" s="3" t="inlineStr">
        <is>
          <t>Rebuilt 2026-08-02 · Base case · AMD</t>
        </is>
      </c>
    </row>
    <row r="7">
      <c r="A7" s="4" t="inlineStr">
        <is>
          <t>Why this version exists</t>
        </is>
      </c>
    </row>
    <row r="8" ht="40" customHeight="1">
      <c r="A8" s="5" t="inlineStr">
        <is>
          <t>The original model priced 6 generic products in USD ($95–$650). This version re-keys the same methodology (unit economics → revenue build → P&amp;L → cash flow → break-even) against the 13 locked Batch 001 SKUs, priced in AMD, per montec/CLAUDE.md.</t>
        </is>
      </c>
    </row>
    <row r="10">
      <c r="A10" s="4" t="inlineStr">
        <is>
          <t>Contents</t>
        </is>
      </c>
    </row>
    <row r="11">
      <c r="A11" s="6" t="inlineStr">
        <is>
          <t>Assumptions</t>
        </is>
      </c>
      <c r="B11" t="inlineStr">
        <is>
          <t>FX rate, startup capital, opex, corporate-channel status</t>
        </is>
      </c>
    </row>
    <row r="12">
      <c r="A12" s="6" t="inlineStr">
        <is>
          <t>Unit Economics</t>
        </is>
      </c>
      <c r="B12" t="inlineStr">
        <is>
          <t>Price, modeled COGS and gross margin per SKU (13 rows, 5 TBD)</t>
        </is>
      </c>
    </row>
    <row r="13">
      <c r="A13" s="6" t="inlineStr">
        <is>
          <t>Startup Capital</t>
        </is>
      </c>
      <c r="B13" t="inlineStr">
        <is>
          <t>How the launch budget is allocated</t>
        </is>
      </c>
    </row>
    <row r="14">
      <c r="A14" s="6" t="inlineStr">
        <is>
          <t>Revenue Build</t>
        </is>
      </c>
      <c r="B14" t="inlineStr">
        <is>
          <t>Year 1 monthly revenue — DTC base case, corporate paused</t>
        </is>
      </c>
    </row>
    <row r="15">
      <c r="A15" s="6" t="inlineStr">
        <is>
          <t>P&amp;L 3-Year</t>
        </is>
      </c>
      <c r="B15" t="inlineStr">
        <is>
          <t>Three-year profit &amp; loss</t>
        </is>
      </c>
    </row>
    <row r="16">
      <c r="A16" s="6" t="inlineStr">
        <is>
          <t>Cash Flow Y1</t>
        </is>
      </c>
      <c r="B16" t="inlineStr">
        <is>
          <t>Monthly cash — proves the runway never goes negative</t>
        </is>
      </c>
    </row>
    <row r="17">
      <c r="A17" s="6" t="inlineStr">
        <is>
          <t>Break-even &amp; Scenarios</t>
        </is>
      </c>
      <c r="B17" t="inlineStr">
        <is>
          <t>Break-even, conservative/base/upside, corporate-resumption memo</t>
        </is>
      </c>
    </row>
    <row r="19">
      <c r="A19" s="4" t="inlineStr">
        <is>
          <t>Colour legend</t>
        </is>
      </c>
    </row>
    <row r="20">
      <c r="A20" s="7" t="inlineStr">
        <is>
          <t>Blue fill</t>
        </is>
      </c>
      <c r="B20" t="inlineStr">
        <is>
          <t>Hardcoded input / scenario lever — edit these</t>
        </is>
      </c>
    </row>
    <row r="21">
      <c r="A21" t="inlineStr">
        <is>
          <t>Black text</t>
        </is>
      </c>
      <c r="B21" t="inlineStr">
        <is>
          <t>Formula — do not overwrite</t>
        </is>
      </c>
    </row>
    <row r="22">
      <c r="A22" t="inlineStr">
        <is>
          <t>Green text</t>
        </is>
      </c>
      <c r="B22" t="inlineStr">
        <is>
          <t>Links to another sheet</t>
        </is>
      </c>
    </row>
    <row r="23">
      <c r="A23" s="8" t="inlineStr">
        <is>
          <t>Yellow fill</t>
        </is>
      </c>
      <c r="B23" t="inlineStr">
        <is>
          <t>Key assumption to sanity-check</t>
        </is>
      </c>
    </row>
    <row r="25">
      <c r="A25" s="9" t="inlineStr">
        <is>
          <t>⚠ Corporate channel status</t>
        </is>
      </c>
    </row>
    <row r="26" ht="60" customHeight="1">
      <c r="A26" s="5" t="inlineStr">
        <is>
          <t>The Nairi Insurance 500-unit personalized card-holder programme (the corporate anchor in the original Business Plan / GTM Strategy) is REAL but currently PAUSED — Nairi is going through internal restructuring and every project on their side is on hold as of 2026-08-02. This model's Year-1 base case therefore assumes ZERO corporate revenue. See the Break-even &amp; Scenarios sheet for what changes if/when it resumes.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0" customWidth="1" min="14" max="14"/>
  </cols>
  <sheetData>
    <row r="1">
      <c r="A1" s="10" t="inlineStr">
        <is>
          <t>Assumptions</t>
        </is>
      </c>
    </row>
    <row r="2">
      <c r="A2" s="3" t="inlineStr">
        <is>
          <t>Blue = input you can change · Yellow = key assumption to sanity-check</t>
        </is>
      </c>
    </row>
    <row r="4">
      <c r="A4" s="4" t="inlineStr">
        <is>
          <t>CURRENCY</t>
        </is>
      </c>
    </row>
    <row r="5">
      <c r="A5" t="inlineStr">
        <is>
          <t>FX rate (AMD per USD)</t>
        </is>
      </c>
      <c r="B5" s="8" t="n">
        <v>400</v>
      </c>
      <c r="C5" t="inlineStr">
        <is>
          <t>Approximate — confirm current rate before relying on USD-equivalents anywhere</t>
        </is>
      </c>
    </row>
    <row r="7">
      <c r="A7" s="4" t="inlineStr">
        <is>
          <t>CAPITAL</t>
        </is>
      </c>
    </row>
    <row r="8">
      <c r="A8" t="inlineStr">
        <is>
          <t>Startup capital (USD)</t>
        </is>
      </c>
      <c r="B8" s="7" t="n">
        <v>5000</v>
      </c>
    </row>
    <row r="9">
      <c r="A9" t="inlineStr">
        <is>
          <t>Startup capital (AMD)</t>
        </is>
      </c>
      <c r="B9" s="11">
        <f>B8*B5</f>
        <v/>
      </c>
    </row>
    <row r="11">
      <c r="A11" s="9" t="inlineStr">
        <is>
          <t>CORPORATE CHANNEL — NAIRI INSURANCE (500-unit programme)</t>
        </is>
      </c>
    </row>
    <row r="12">
      <c r="A12" t="inlineStr">
        <is>
          <t>Status</t>
        </is>
      </c>
      <c r="B12" s="8" t="inlineStr">
        <is>
          <t>PAUSED (Nairi internal restructuring, confirmed 2026-08-02)</t>
        </is>
      </c>
    </row>
    <row r="13">
      <c r="A13" t="inlineStr">
        <is>
          <t>Active in Year-1 base case? (1=yes, 0=no)</t>
        </is>
      </c>
      <c r="B13" s="7" t="n">
        <v>0</v>
      </c>
    </row>
    <row r="14">
      <c r="A14" t="inlineStr">
        <is>
          <t>If resumed — corporate bulk unit price, THE ACCESS (AMD)</t>
        </is>
      </c>
      <c r="B14" s="8" t="n">
        <v>17500</v>
      </c>
      <c r="C14" t="inlineStr">
        <is>
          <t>Modeled at ~58% of retail 30,000 AMD, mirroring the original $55/$95 ratio — not a confirmed quote</t>
        </is>
      </c>
    </row>
    <row r="15">
      <c r="A15" t="inlineStr">
        <is>
          <t>If resumed — programme size (units)</t>
        </is>
      </c>
      <c r="B15" s="7" t="n">
        <v>500</v>
      </c>
    </row>
    <row r="17">
      <c r="A17" s="4" t="inlineStr">
        <is>
          <t>DTC — YEAR 1 MONTHLY UNIT RAMP (blended across priced SKUs)</t>
        </is>
      </c>
    </row>
    <row r="18">
      <c r="A18" t="inlineStr">
        <is>
          <t>Month</t>
        </is>
      </c>
      <c r="B18" s="4" t="inlineStr">
        <is>
          <t>M1</t>
        </is>
      </c>
      <c r="C18" s="4" t="inlineStr">
        <is>
          <t>M2</t>
        </is>
      </c>
      <c r="D18" s="4" t="inlineStr">
        <is>
          <t>M3</t>
        </is>
      </c>
      <c r="E18" s="4" t="inlineStr">
        <is>
          <t>M4</t>
        </is>
      </c>
      <c r="F18" s="4" t="inlineStr">
        <is>
          <t>M5</t>
        </is>
      </c>
      <c r="G18" s="4" t="inlineStr">
        <is>
          <t>M6</t>
        </is>
      </c>
      <c r="H18" s="4" t="inlineStr">
        <is>
          <t>M7</t>
        </is>
      </c>
      <c r="I18" s="4" t="inlineStr">
        <is>
          <t>M8</t>
        </is>
      </c>
      <c r="J18" s="4" t="inlineStr">
        <is>
          <t>M9</t>
        </is>
      </c>
      <c r="K18" s="4" t="inlineStr">
        <is>
          <t>M10</t>
        </is>
      </c>
      <c r="L18" s="4" t="inlineStr">
        <is>
          <t>M11</t>
        </is>
      </c>
      <c r="M18" s="4" t="inlineStr">
        <is>
          <t>M12</t>
        </is>
      </c>
    </row>
    <row r="19">
      <c r="A19" t="inlineStr">
        <is>
          <t>DTC units</t>
        </is>
      </c>
      <c r="B19" s="7" t="n">
        <v>4</v>
      </c>
      <c r="C19" s="7" t="n">
        <v>5</v>
      </c>
      <c r="D19" s="7" t="n">
        <v>6</v>
      </c>
      <c r="E19" s="7" t="n">
        <v>8</v>
      </c>
      <c r="F19" s="7" t="n">
        <v>9</v>
      </c>
      <c r="G19" s="7" t="n">
        <v>10</v>
      </c>
      <c r="H19" s="7" t="n">
        <v>11</v>
      </c>
      <c r="I19" s="7" t="n">
        <v>12</v>
      </c>
      <c r="J19" s="7" t="n">
        <v>13</v>
      </c>
      <c r="K19" s="7" t="n">
        <v>14</v>
      </c>
      <c r="L19" s="7" t="n">
        <v>15</v>
      </c>
      <c r="M19" s="7" t="n">
        <v>16</v>
      </c>
    </row>
    <row r="21">
      <c r="A21" s="4" t="inlineStr">
        <is>
          <t>DTC blended average price (AMD) — sales-mix weighted, see Unit Economics</t>
        </is>
      </c>
    </row>
    <row r="22">
      <c r="A22" t="inlineStr">
        <is>
          <t>Blended DTC price per unit</t>
        </is>
      </c>
      <c r="B22" s="8" t="n">
        <v>82000</v>
      </c>
      <c r="C22" t="inlineStr">
        <is>
          <t>Weighted toward accessible SKUs early (Access/Vision/Capital/Arena/Voyager) with some Closer/Executive/Founder mix — see notes in Unit Economics. Recompute once real sales-mix data exists.</t>
        </is>
      </c>
    </row>
    <row r="23">
      <c r="A23" t="inlineStr">
        <is>
          <t>Blended DTC COGS ratio (modeled)</t>
        </is>
      </c>
      <c r="B23" s="8" t="n">
        <v>0.3</v>
      </c>
      <c r="C23" t="inlineStr">
        <is>
          <t>Flat ~70% GM assumption carried over from the original model — confirm real cost breakdown with Artem/Levon</t>
        </is>
      </c>
    </row>
    <row r="25">
      <c r="A25" s="4" t="inlineStr">
        <is>
          <t>OPERATING EXPENSES (annual unless noted, AMD)</t>
        </is>
      </c>
    </row>
    <row r="26">
      <c r="A26" s="4" t="inlineStr">
        <is>
          <t>Item</t>
        </is>
      </c>
      <c r="B26" s="4" t="inlineStr">
        <is>
          <t>Year 1</t>
        </is>
      </c>
      <c r="C26" s="4" t="inlineStr">
        <is>
          <t>Year 2</t>
        </is>
      </c>
      <c r="D26" s="4" t="inlineStr">
        <is>
          <t>Year 3</t>
        </is>
      </c>
    </row>
    <row r="27">
      <c r="A27" t="inlineStr">
        <is>
          <t>Marketing &amp; content (incl. launch)</t>
        </is>
      </c>
      <c r="B27" s="11">
        <f>3000*$B$5</f>
        <v/>
      </c>
      <c r="C27" s="11">
        <f>4000*$B$5</f>
        <v/>
      </c>
      <c r="D27" s="11">
        <f>6000*$B$5</f>
        <v/>
      </c>
    </row>
    <row r="28">
      <c r="A28" t="inlineStr">
        <is>
          <t>Shipping &amp; fulfilment</t>
        </is>
      </c>
      <c r="B28" s="11">
        <f>1400*$B$5</f>
        <v/>
      </c>
      <c r="C28" s="11">
        <f>2600*$B$5</f>
        <v/>
      </c>
      <c r="D28" s="11">
        <f>4200*$B$5</f>
        <v/>
      </c>
    </row>
    <row r="29">
      <c r="A29" t="inlineStr">
        <is>
          <t>Software &amp; store (Shopify, domain)</t>
        </is>
      </c>
      <c r="B29" s="11">
        <f>360*$B$5</f>
        <v/>
      </c>
      <c r="C29" s="11">
        <f>420*$B$5</f>
        <v/>
      </c>
      <c r="D29" s="11">
        <f>480*$B$5</f>
        <v/>
      </c>
    </row>
    <row r="30">
      <c r="A30" t="inlineStr">
        <is>
          <t>Personalization / engraving</t>
        </is>
      </c>
      <c r="B30" s="11">
        <f>400*$B$5</f>
        <v/>
      </c>
      <c r="C30" s="11">
        <f>900*$B$5</f>
        <v/>
      </c>
      <c r="D30" s="11">
        <f>1500*$B$5</f>
        <v/>
      </c>
    </row>
    <row r="31">
      <c r="A31" t="inlineStr">
        <is>
          <t>Misc &amp; admin</t>
        </is>
      </c>
      <c r="B31" s="11">
        <f>600*$B$5</f>
        <v/>
      </c>
      <c r="C31" s="11">
        <f>900*$B$5</f>
        <v/>
      </c>
      <c r="D31" s="11">
        <f>1200*$B$5</f>
        <v/>
      </c>
    </row>
    <row r="32">
      <c r="A32" t="inlineStr">
        <is>
          <t>Payment processing (% of DTC revenue)</t>
        </is>
      </c>
      <c r="B32" s="7" t="n">
        <v>0.03</v>
      </c>
      <c r="C32" s="7" t="n">
        <v>0.03</v>
      </c>
      <c r="D32" s="7" t="n">
        <v>0.03</v>
      </c>
    </row>
    <row r="34">
      <c r="A34" s="4" t="inlineStr">
        <is>
          <t>ONE-TIME SETUP (Month 1, non-COGS, AMD)</t>
        </is>
      </c>
    </row>
    <row r="35">
      <c r="A35" t="inlineStr">
        <is>
          <t>Online store build &amp; first-year plan</t>
        </is>
      </c>
      <c r="B35" s="11">
        <f>500*$B$5</f>
        <v/>
      </c>
    </row>
    <row r="36">
      <c r="A36" t="inlineStr">
        <is>
          <t>Corporate sample &amp; pitch kit</t>
        </is>
      </c>
      <c r="B36" s="11">
        <f>500*$B$5</f>
        <v/>
      </c>
    </row>
    <row r="37">
      <c r="A37" t="inlineStr">
        <is>
          <t>Engraving setup / tooling</t>
        </is>
      </c>
      <c r="B37" s="11">
        <f>300*$B$5</f>
        <v/>
      </c>
    </row>
    <row r="38">
      <c r="A38" t="inlineStr">
        <is>
          <t>Content production kit</t>
        </is>
      </c>
      <c r="B38" s="11">
        <f>400*$B$5</f>
        <v/>
      </c>
    </row>
    <row r="39">
      <c r="A39" s="4" t="inlineStr">
        <is>
          <t>Total one-time setup</t>
        </is>
      </c>
      <c r="B39" s="4">
        <f>SUM(B35:B38)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6" customWidth="1" min="4" max="4"/>
    <col width="14" customWidth="1" min="5" max="5"/>
    <col width="9" customWidth="1" min="6" max="6"/>
    <col width="40" customWidth="1" min="7" max="7"/>
  </cols>
  <sheetData>
    <row r="1">
      <c r="A1" s="10" t="inlineStr">
        <is>
          <t>Unit Economics</t>
        </is>
      </c>
    </row>
    <row r="2">
      <c r="A2" s="3" t="inlineStr">
        <is>
          <t>Price, modeled COGS and gross margin per product — all 13 locked Batch 001 SKUs</t>
        </is>
      </c>
    </row>
    <row r="4">
      <c r="A4" s="12" t="inlineStr">
        <is>
          <t>SKU</t>
        </is>
      </c>
      <c r="B4" s="12" t="inlineStr">
        <is>
          <t>Type</t>
        </is>
      </c>
      <c r="C4" s="12" t="inlineStr">
        <is>
          <t>Price (AMD)</t>
        </is>
      </c>
      <c r="D4" s="12" t="inlineStr">
        <is>
          <t>Modeled COGS (AMD)</t>
        </is>
      </c>
      <c r="E4" s="12" t="inlineStr">
        <is>
          <t>Gross Profit (AMD)</t>
        </is>
      </c>
      <c r="F4" s="12" t="inlineStr">
        <is>
          <t>GM %</t>
        </is>
      </c>
      <c r="G4" s="12" t="inlineStr">
        <is>
          <t>Status</t>
        </is>
      </c>
    </row>
    <row r="5">
      <c r="A5" s="4" t="inlineStr">
        <is>
          <t>THE FOUNDER</t>
        </is>
      </c>
      <c r="B5" t="inlineStr">
        <is>
          <t>Weekender</t>
        </is>
      </c>
      <c r="C5" s="7" t="n">
        <v>270000</v>
      </c>
      <c r="D5" s="11">
        <f>C5*Assumptions!$B$23</f>
        <v/>
      </c>
      <c r="E5">
        <f>C5-D5</f>
        <v/>
      </c>
      <c r="F5" s="13">
        <f>E5/C5</f>
        <v/>
      </c>
      <c r="G5" t="inlineStr">
        <is>
          <t>Confirmed price</t>
        </is>
      </c>
    </row>
    <row r="6">
      <c r="A6" s="4" t="inlineStr">
        <is>
          <t>THE EXECUTIVE</t>
        </is>
      </c>
      <c r="B6" t="inlineStr">
        <is>
          <t>Briefcase</t>
        </is>
      </c>
      <c r="C6" s="7" t="n">
        <v>230000</v>
      </c>
      <c r="D6" s="11">
        <f>C6*Assumptions!$B$23</f>
        <v/>
      </c>
      <c r="E6">
        <f>C6-D6</f>
        <v/>
      </c>
      <c r="F6" s="13">
        <f>E6/C6</f>
        <v/>
      </c>
      <c r="G6" t="inlineStr">
        <is>
          <t>Confirmed price</t>
        </is>
      </c>
    </row>
    <row r="7">
      <c r="A7" s="4" t="inlineStr">
        <is>
          <t>THE UNIT</t>
        </is>
      </c>
      <c r="B7" t="inlineStr">
        <is>
          <t>Laptop module</t>
        </is>
      </c>
      <c r="C7" s="8" t="inlineStr">
        <is>
          <t>TBD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s="14" t="inlineStr">
        <is>
          <t>Price not yet confirmed — excluded from revenue math, do not invent</t>
        </is>
      </c>
    </row>
    <row r="8">
      <c r="A8" s="4" t="inlineStr">
        <is>
          <t>THE CLOSER</t>
        </is>
      </c>
      <c r="B8" t="inlineStr">
        <is>
          <t>Messenger bag</t>
        </is>
      </c>
      <c r="C8" s="7" t="n">
        <v>190000</v>
      </c>
      <c r="D8" s="11">
        <f>C8*Assumptions!$B$23</f>
        <v/>
      </c>
      <c r="E8">
        <f>C8-D8</f>
        <v/>
      </c>
      <c r="F8" s="13">
        <f>E8/C8</f>
        <v/>
      </c>
      <c r="G8" t="inlineStr">
        <is>
          <t>Confirmed price</t>
        </is>
      </c>
    </row>
    <row r="9">
      <c r="A9" s="4" t="inlineStr">
        <is>
          <t>THE ARENA</t>
        </is>
      </c>
      <c r="B9" t="inlineStr">
        <is>
          <t>Desk mat</t>
        </is>
      </c>
      <c r="C9" s="7" t="n">
        <v>40000</v>
      </c>
      <c r="D9" s="11">
        <f>C9*Assumptions!$B$23</f>
        <v/>
      </c>
      <c r="E9">
        <f>C9-D9</f>
        <v/>
      </c>
      <c r="F9" s="13">
        <f>E9/C9</f>
        <v/>
      </c>
      <c r="G9" t="inlineStr">
        <is>
          <t>Confirmed price</t>
        </is>
      </c>
    </row>
    <row r="10">
      <c r="A10" s="4" t="inlineStr">
        <is>
          <t>THE BRIEF</t>
        </is>
      </c>
      <c r="B10" t="inlineStr">
        <is>
          <t>Men's clutch</t>
        </is>
      </c>
      <c r="C10" s="8" t="inlineStr">
        <is>
          <t>TBD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s="14" t="inlineStr">
        <is>
          <t>Price not yet confirmed — excluded from revenue math, do not invent</t>
        </is>
      </c>
    </row>
    <row r="11">
      <c r="A11" s="4" t="inlineStr">
        <is>
          <t>THE CAPITAL</t>
        </is>
      </c>
      <c r="B11" t="inlineStr">
        <is>
          <t>Bifold wallet</t>
        </is>
      </c>
      <c r="C11" s="7" t="n">
        <v>40000</v>
      </c>
      <c r="D11" s="11">
        <f>C11*Assumptions!$B$23</f>
        <v/>
      </c>
      <c r="E11">
        <f>C11-D11</f>
        <v/>
      </c>
      <c r="F11" s="13">
        <f>E11/C11</f>
        <v/>
      </c>
      <c r="G11" t="inlineStr">
        <is>
          <t>Confirmed price</t>
        </is>
      </c>
    </row>
    <row r="12">
      <c r="A12" s="4" t="inlineStr">
        <is>
          <t>THE TREASURY</t>
        </is>
      </c>
      <c r="B12" t="inlineStr">
        <is>
          <t>Long wallet</t>
        </is>
      </c>
      <c r="C12" s="8" t="inlineStr">
        <is>
          <t>TBD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s="14" t="inlineStr">
        <is>
          <t>Price not yet confirmed — excluded from revenue math, do not invent</t>
        </is>
      </c>
    </row>
    <row r="13">
      <c r="A13" s="4" t="inlineStr">
        <is>
          <t>THE ACCESS</t>
        </is>
      </c>
      <c r="B13" t="inlineStr">
        <is>
          <t>Cardholder</t>
        </is>
      </c>
      <c r="C13" s="7" t="n">
        <v>30000</v>
      </c>
      <c r="D13" s="11">
        <f>C13*Assumptions!$B$23</f>
        <v/>
      </c>
      <c r="E13">
        <f>C13-D13</f>
        <v/>
      </c>
      <c r="F13" s="13">
        <f>E13/C13</f>
        <v/>
      </c>
      <c r="G13" t="inlineStr">
        <is>
          <t>Confirmed price</t>
        </is>
      </c>
    </row>
    <row r="14">
      <c r="A14" s="4" t="inlineStr">
        <is>
          <t>THE VOYAGER</t>
        </is>
      </c>
      <c r="B14" t="inlineStr">
        <is>
          <t>Dopp kit</t>
        </is>
      </c>
      <c r="C14" s="7" t="n">
        <v>40000</v>
      </c>
      <c r="D14" s="11">
        <f>C14*Assumptions!$B$23</f>
        <v/>
      </c>
      <c r="E14">
        <f>C14-D14</f>
        <v/>
      </c>
      <c r="F14" s="13">
        <f>E14/C14</f>
        <v/>
      </c>
      <c r="G14" t="inlineStr">
        <is>
          <t>Confirmed price</t>
        </is>
      </c>
    </row>
    <row r="15">
      <c r="A15" s="4" t="inlineStr">
        <is>
          <t>THE VISION</t>
        </is>
      </c>
      <c r="B15" t="inlineStr">
        <is>
          <t>Glasses case</t>
        </is>
      </c>
      <c r="C15" s="7" t="n">
        <v>30000</v>
      </c>
      <c r="D15" s="11">
        <f>C15*Assumptions!$B$23</f>
        <v/>
      </c>
      <c r="E15">
        <f>C15-D15</f>
        <v/>
      </c>
      <c r="F15" s="13">
        <f>E15/C15</f>
        <v/>
      </c>
      <c r="G15" t="inlineStr">
        <is>
          <t>Confirmed price</t>
        </is>
      </c>
    </row>
    <row r="16">
      <c r="A16" s="4" t="inlineStr">
        <is>
          <t>THE BACKBONE</t>
        </is>
      </c>
      <c r="B16" t="inlineStr">
        <is>
          <t>Brown belt</t>
        </is>
      </c>
      <c r="C16" s="8" t="inlineStr">
        <is>
          <t>TBD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  <c r="G16" s="14" t="inlineStr">
        <is>
          <t>Price not yet confirmed — excluded from revenue math, do not invent</t>
        </is>
      </c>
    </row>
    <row r="17">
      <c r="A17" s="4" t="inlineStr">
        <is>
          <t>THE STANDARD</t>
        </is>
      </c>
      <c r="B17" t="inlineStr">
        <is>
          <t>Black belt</t>
        </is>
      </c>
      <c r="C17" s="8" t="inlineStr">
        <is>
          <t>TBD</t>
        </is>
      </c>
      <c r="D17" t="inlineStr">
        <is>
          <t>—</t>
        </is>
      </c>
      <c r="E17" t="inlineStr">
        <is>
          <t>—</t>
        </is>
      </c>
      <c r="F17" t="inlineStr">
        <is>
          <t>—</t>
        </is>
      </c>
      <c r="G17" s="14" t="inlineStr">
        <is>
          <t>Price not yet confirmed — excluded from revenue math, do not invent</t>
        </is>
      </c>
    </row>
    <row r="19">
      <c r="A19" s="4" t="inlineStr">
        <is>
          <t>Corporate gift edition — THE ACCESS (bulk)</t>
        </is>
      </c>
      <c r="C19" s="11">
        <f>Assumptions!B14</f>
        <v/>
      </c>
      <c r="D19" s="11">
        <f>C19*Assumptions!$B$23</f>
        <v/>
      </c>
      <c r="E19">
        <f>C19-D19</f>
        <v/>
      </c>
      <c r="F19" s="13">
        <f>E19/C19</f>
        <v/>
      </c>
      <c r="G19" s="15" t="inlineStr">
        <is>
          <t>Modeled — see Assumptions</t>
        </is>
      </c>
    </row>
    <row r="21">
      <c r="A21" s="4" t="inlineStr">
        <is>
          <t>Notes</t>
        </is>
      </c>
    </row>
    <row r="22" ht="70" customHeight="1">
      <c r="A22" s="5" t="inlineStr">
        <is>
          <t>Material = Italian full-grain vegetable-tanned calfskin + Italian brass hardware, per montec/CLAUDE.md. Modeled COGS uses a flat 30% ratio (~70% GM) carried over from the original 6-product model's observed range (68.3–73.1%) — this is a planning estimate, not a confirmed cost breakdown from Artem/Levon. Recompute once real per-piece costs are known. The 5 TBD-price SKUs (Unit, Brief, Treasury, Backbone, Standard) are excluded from Revenue Build until the user provides real AMD prices.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2" customWidth="1" min="3" max="3"/>
    <col width="60" customWidth="1" min="4" max="4"/>
  </cols>
  <sheetData>
    <row r="1">
      <c r="A1" s="10" t="inlineStr">
        <is>
          <t>Startup Capital</t>
        </is>
      </c>
    </row>
    <row r="2">
      <c r="A2" s="3" t="inlineStr">
        <is>
          <t>Allocation of the launch budget — 5000 USD / see Assumptions!B9 for AMD</t>
        </is>
      </c>
    </row>
    <row r="4">
      <c r="A4" s="12" t="inlineStr">
        <is>
          <t>Use of funds</t>
        </is>
      </c>
      <c r="B4" s="12" t="inlineStr">
        <is>
          <t>Amount (AMD)</t>
        </is>
      </c>
      <c r="C4" s="12" t="inlineStr">
        <is>
          <t>% of total</t>
        </is>
      </c>
      <c r="D4" s="12" t="inlineStr">
        <is>
          <t>Purpose</t>
        </is>
      </c>
    </row>
    <row r="5">
      <c r="A5" t="inlineStr">
        <is>
          <t>Initial materials &amp; hardware</t>
        </is>
      </c>
      <c r="B5" s="11">
        <f>Assumptions!$B$9*C5</f>
        <v/>
      </c>
      <c r="C5" s="16" t="n">
        <v>0.12</v>
      </c>
      <c r="D5" t="inlineStr">
        <is>
          <t>Hides, brass, linings, thread for first batches</t>
        </is>
      </c>
    </row>
    <row r="6">
      <c r="A6" t="inlineStr">
        <is>
          <t>Branded packaging (first run)</t>
        </is>
      </c>
      <c r="B6" s="11">
        <f>Assumptions!$B$9*C6</f>
        <v/>
      </c>
      <c r="C6" s="16" t="n">
        <v>0.14</v>
      </c>
      <c r="D6" t="inlineStr">
        <is>
          <t>Boxes, dust bags, cards — the unboxing must feel luxury</t>
        </is>
      </c>
    </row>
    <row r="7">
      <c r="A7" t="inlineStr">
        <is>
          <t>Corporate sample &amp; pitch kit</t>
        </is>
      </c>
      <c r="B7" s="11">
        <f>Assumptions!$B$9*C7</f>
        <v/>
      </c>
      <c r="C7" s="16" t="n">
        <v>0.1</v>
      </c>
      <c r="D7" t="inlineStr">
        <is>
          <t>One flawless sample — held ready for when Nairi (or another corporate lead) resumes</t>
        </is>
      </c>
    </row>
    <row r="8">
      <c r="A8" t="inlineStr">
        <is>
          <t>Content production kit</t>
        </is>
      </c>
      <c r="B8" s="11">
        <f>Assumptions!$B$9*C8</f>
        <v/>
      </c>
      <c r="C8" s="16" t="n">
        <v>0.08</v>
      </c>
      <c r="D8" t="inlineStr">
        <is>
          <t>Props and minor gear for cinematic reels</t>
        </is>
      </c>
    </row>
    <row r="9">
      <c r="A9" t="inlineStr">
        <is>
          <t>Online store (Shopify + domain, 1yr)</t>
        </is>
      </c>
      <c r="B9" s="11">
        <f>Assumptions!$B$9*C9</f>
        <v/>
      </c>
      <c r="C9" s="16" t="n">
        <v>0.1</v>
      </c>
      <c r="D9" t="inlineStr">
        <is>
          <t>Application-based storefront</t>
        </is>
      </c>
    </row>
    <row r="10">
      <c r="A10" t="inlineStr">
        <is>
          <t>Launch marketing</t>
        </is>
      </c>
      <c r="B10" s="11">
        <f>Assumptions!$B$9*C10</f>
        <v/>
      </c>
      <c r="C10" s="16" t="n">
        <v>0.3</v>
      </c>
      <c r="D10" t="inlineStr">
        <is>
          <t>Seed reach for the zero-follower launch phase</t>
        </is>
      </c>
    </row>
    <row r="11">
      <c r="A11" t="inlineStr">
        <is>
          <t>Personalization / engraving setup</t>
        </is>
      </c>
      <c r="B11" s="11">
        <f>Assumptions!$B$9*C11</f>
        <v/>
      </c>
      <c r="C11" s="16" t="n">
        <v>0.06</v>
      </c>
      <c r="D11" t="inlineStr">
        <is>
          <t>Laser engraving of initials for corporate &amp; monogram</t>
        </is>
      </c>
    </row>
    <row r="12">
      <c r="A12" t="inlineStr">
        <is>
          <t>Working-capital contingency</t>
        </is>
      </c>
      <c r="B12" s="11">
        <f>Assumptions!$B$9*C12</f>
        <v/>
      </c>
      <c r="C12" s="16" t="n">
        <v>0.1</v>
      </c>
      <c r="D12" t="inlineStr">
        <is>
          <t>Buffer for timing and the unexpected</t>
        </is>
      </c>
    </row>
    <row r="13">
      <c r="A13" s="4" t="inlineStr">
        <is>
          <t>Total allocated</t>
        </is>
      </c>
      <c r="B13" s="4">
        <f>SUM(B5:B12)</f>
        <v/>
      </c>
      <c r="C13" s="17">
        <f>SUM(C5:C12)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4" customWidth="1" min="14" max="14"/>
  </cols>
  <sheetData>
    <row r="1">
      <c r="A1" s="10" t="inlineStr">
        <is>
          <t>Revenue Build — Year 1</t>
        </is>
      </c>
    </row>
    <row r="2">
      <c r="A2" s="14" t="inlineStr">
        <is>
          <t>Monthly units and revenue by channel, AMD — corporate channel PAUSED in this base case</t>
        </is>
      </c>
    </row>
    <row r="4">
      <c r="A4" s="4" t="inlineStr">
        <is>
          <t>Line item</t>
        </is>
      </c>
      <c r="B4" s="4" t="inlineStr">
        <is>
          <t>M1</t>
        </is>
      </c>
      <c r="C4" s="4" t="inlineStr">
        <is>
          <t>M2</t>
        </is>
      </c>
      <c r="D4" s="4" t="inlineStr">
        <is>
          <t>M3</t>
        </is>
      </c>
      <c r="E4" s="4" t="inlineStr">
        <is>
          <t>M4</t>
        </is>
      </c>
      <c r="F4" s="4" t="inlineStr">
        <is>
          <t>M5</t>
        </is>
      </c>
      <c r="G4" s="4" t="inlineStr">
        <is>
          <t>M6</t>
        </is>
      </c>
      <c r="H4" s="4" t="inlineStr">
        <is>
          <t>M7</t>
        </is>
      </c>
      <c r="I4" s="4" t="inlineStr">
        <is>
          <t>M8</t>
        </is>
      </c>
      <c r="J4" s="4" t="inlineStr">
        <is>
          <t>M9</t>
        </is>
      </c>
      <c r="K4" s="4" t="inlineStr">
        <is>
          <t>M10</t>
        </is>
      </c>
      <c r="L4" s="4" t="inlineStr">
        <is>
          <t>M11</t>
        </is>
      </c>
      <c r="M4" s="4" t="inlineStr">
        <is>
          <t>M12</t>
        </is>
      </c>
      <c r="N4" s="4" t="inlineStr">
        <is>
          <t>Year 1</t>
        </is>
      </c>
    </row>
    <row r="5">
      <c r="A5" t="inlineStr">
        <is>
          <t>DTC — units</t>
        </is>
      </c>
      <c r="B5" s="11">
        <f>Assumptions!B19</f>
        <v/>
      </c>
      <c r="C5" s="11">
        <f>Assumptions!C19</f>
        <v/>
      </c>
      <c r="D5" s="11">
        <f>Assumptions!D19</f>
        <v/>
      </c>
      <c r="E5" s="11">
        <f>Assumptions!E19</f>
        <v/>
      </c>
      <c r="F5" s="11">
        <f>Assumptions!F19</f>
        <v/>
      </c>
      <c r="G5" s="11">
        <f>Assumptions!G19</f>
        <v/>
      </c>
      <c r="H5" s="11">
        <f>Assumptions!H19</f>
        <v/>
      </c>
      <c r="I5" s="11">
        <f>Assumptions!I19</f>
        <v/>
      </c>
      <c r="J5" s="11">
        <f>Assumptions!J19</f>
        <v/>
      </c>
      <c r="K5" s="11">
        <f>Assumptions!K19</f>
        <v/>
      </c>
      <c r="L5" s="11">
        <f>Assumptions!L19</f>
        <v/>
      </c>
      <c r="M5" s="11">
        <f>Assumptions!M19</f>
        <v/>
      </c>
      <c r="N5">
        <f>SUM(B5:M5)</f>
        <v/>
      </c>
    </row>
    <row r="6">
      <c r="A6" t="inlineStr">
        <is>
          <t>DTC — revenue</t>
        </is>
      </c>
      <c r="B6">
        <f>B5*Assumptions!$B$22</f>
        <v/>
      </c>
      <c r="C6">
        <f>C5*Assumptions!$B$22</f>
        <v/>
      </c>
      <c r="D6">
        <f>D5*Assumptions!$B$22</f>
        <v/>
      </c>
      <c r="E6">
        <f>E5*Assumptions!$B$22</f>
        <v/>
      </c>
      <c r="F6">
        <f>F5*Assumptions!$B$22</f>
        <v/>
      </c>
      <c r="G6">
        <f>G5*Assumptions!$B$22</f>
        <v/>
      </c>
      <c r="H6">
        <f>H5*Assumptions!$B$22</f>
        <v/>
      </c>
      <c r="I6">
        <f>I5*Assumptions!$B$22</f>
        <v/>
      </c>
      <c r="J6">
        <f>J5*Assumptions!$B$22</f>
        <v/>
      </c>
      <c r="K6">
        <f>K5*Assumptions!$B$22</f>
        <v/>
      </c>
      <c r="L6">
        <f>L5*Assumptions!$B$22</f>
        <v/>
      </c>
      <c r="M6">
        <f>M5*Assumptions!$B$22</f>
        <v/>
      </c>
      <c r="N6">
        <f>SUM(B6:M6)</f>
        <v/>
      </c>
    </row>
    <row r="7">
      <c r="A7" t="inlineStr">
        <is>
          <t>Corporate — units (0 while paused)</t>
        </is>
      </c>
      <c r="B7" s="7" t="n">
        <v>0</v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>
        <f>SUM(B7:M7)</f>
        <v/>
      </c>
    </row>
    <row r="8">
      <c r="A8" t="inlineStr">
        <is>
          <t>Corporate — revenue</t>
        </is>
      </c>
      <c r="B8">
        <f>B7*Assumptions!$B$14</f>
        <v/>
      </c>
      <c r="C8">
        <f>C7*Assumptions!$B$14</f>
        <v/>
      </c>
      <c r="D8">
        <f>D7*Assumptions!$B$14</f>
        <v/>
      </c>
      <c r="E8">
        <f>E7*Assumptions!$B$14</f>
        <v/>
      </c>
      <c r="F8">
        <f>F7*Assumptions!$B$14</f>
        <v/>
      </c>
      <c r="G8">
        <f>G7*Assumptions!$B$14</f>
        <v/>
      </c>
      <c r="H8">
        <f>H7*Assumptions!$B$14</f>
        <v/>
      </c>
      <c r="I8">
        <f>I7*Assumptions!$B$14</f>
        <v/>
      </c>
      <c r="J8">
        <f>J7*Assumptions!$B$14</f>
        <v/>
      </c>
      <c r="K8">
        <f>K7*Assumptions!$B$14</f>
        <v/>
      </c>
      <c r="L8">
        <f>L7*Assumptions!$B$14</f>
        <v/>
      </c>
      <c r="M8">
        <f>M7*Assumptions!$B$14</f>
        <v/>
      </c>
      <c r="N8">
        <f>SUM(B8:M8)</f>
        <v/>
      </c>
    </row>
    <row r="9">
      <c r="A9" s="4" t="inlineStr">
        <is>
          <t>Total revenue</t>
        </is>
      </c>
      <c r="B9" s="4">
        <f>B6+B8</f>
        <v/>
      </c>
      <c r="C9" s="4">
        <f>C6+C8</f>
        <v/>
      </c>
      <c r="D9" s="4">
        <f>D6+D8</f>
        <v/>
      </c>
      <c r="E9" s="4">
        <f>E6+E8</f>
        <v/>
      </c>
      <c r="F9" s="4">
        <f>F6+F8</f>
        <v/>
      </c>
      <c r="G9" s="4">
        <f>G6+G8</f>
        <v/>
      </c>
      <c r="H9" s="4">
        <f>H6+H8</f>
        <v/>
      </c>
      <c r="I9" s="4">
        <f>I6+I8</f>
        <v/>
      </c>
      <c r="J9" s="4">
        <f>J6+J8</f>
        <v/>
      </c>
      <c r="K9" s="4">
        <f>K6+K8</f>
        <v/>
      </c>
      <c r="L9" s="4">
        <f>L6+L8</f>
        <v/>
      </c>
      <c r="M9" s="4">
        <f>M6+M8</f>
        <v/>
      </c>
      <c r="N9" s="4">
        <f>SUM(B9:M9)</f>
        <v/>
      </c>
    </row>
    <row r="11">
      <c r="A11" s="4" t="inlineStr">
        <is>
          <t>Comment</t>
        </is>
      </c>
    </row>
    <row r="12" ht="55" customHeight="1">
      <c r="A12" s="5" t="inlineStr">
        <is>
          <t>Corporate row is zeroed because the Nairi Insurance 500-unit programme is paused pending their internal restructuring (confirmed 2026-08-02) — this is a real relationship, not a cancelled one, so re-activate the Corporate — units row the moment it resumes. DTC ramps on the same monthly shape as the original model; all monthly unit cells are blue inputs.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0" t="inlineStr">
        <is>
          <t>Profit &amp; Loss — Three Year (AMD)</t>
        </is>
      </c>
    </row>
    <row r="2">
      <c r="A2" s="3" t="inlineStr">
        <is>
          <t>Year 1 pulls from Revenue Build (corporate paused); Years 2-3 scale DTC only unless corporate resumes — see Break-even &amp; Scenarios</t>
        </is>
      </c>
    </row>
    <row r="4">
      <c r="A4" s="4" t="inlineStr"/>
      <c r="B4" s="4" t="inlineStr">
        <is>
          <t>Year 1</t>
        </is>
      </c>
      <c r="C4" s="4" t="inlineStr">
        <is>
          <t>Year 2</t>
        </is>
      </c>
      <c r="D4" s="4" t="inlineStr">
        <is>
          <t>Year 3</t>
        </is>
      </c>
    </row>
    <row r="5">
      <c r="A5" t="inlineStr">
        <is>
          <t>DTC revenue</t>
        </is>
      </c>
      <c r="B5" s="11">
        <f>'Revenue Build'!N6</f>
        <v/>
      </c>
      <c r="C5">
        <f>B5*2.9</f>
        <v/>
      </c>
      <c r="D5">
        <f>B5*5.7</f>
        <v/>
      </c>
    </row>
    <row r="6">
      <c r="A6" t="inlineStr">
        <is>
          <t>Corporate revenue (0 while paused)</t>
        </is>
      </c>
      <c r="B6" s="11">
        <f>'Revenue Build'!N8</f>
        <v/>
      </c>
      <c r="C6" s="7" t="n">
        <v>0</v>
      </c>
      <c r="D6" s="7" t="n">
        <v>0</v>
      </c>
    </row>
    <row r="7">
      <c r="A7" s="4" t="inlineStr">
        <is>
          <t>Total revenue</t>
        </is>
      </c>
      <c r="B7" s="4">
        <f>B5+B6</f>
        <v/>
      </c>
      <c r="C7" s="4">
        <f>C5+C6</f>
        <v/>
      </c>
      <c r="D7" s="4">
        <f>D5+D6</f>
        <v/>
      </c>
    </row>
    <row r="8">
      <c r="A8" t="inlineStr">
        <is>
          <t>Total COGS (modeled @ blended ratio)</t>
        </is>
      </c>
      <c r="B8">
        <f>B7*Assumptions!$B$23</f>
        <v/>
      </c>
      <c r="C8">
        <f>C7*Assumptions!$B$23</f>
        <v/>
      </c>
      <c r="D8">
        <f>D7*Assumptions!$B$23</f>
        <v/>
      </c>
    </row>
    <row r="9">
      <c r="A9" s="4" t="inlineStr">
        <is>
          <t>Gross profit</t>
        </is>
      </c>
      <c r="B9" s="4">
        <f>B7-B8</f>
        <v/>
      </c>
      <c r="C9" s="4">
        <f>C7-C8</f>
        <v/>
      </c>
      <c r="D9" s="4">
        <f>D7-D8</f>
        <v/>
      </c>
    </row>
    <row r="10">
      <c r="A10" t="inlineStr">
        <is>
          <t>Gross margin %</t>
        </is>
      </c>
      <c r="B10" s="13">
        <f>B9/B7</f>
        <v/>
      </c>
      <c r="C10" s="13">
        <f>C9/C7</f>
        <v/>
      </c>
      <c r="D10" s="13">
        <f>D9/D7</f>
        <v/>
      </c>
    </row>
    <row r="12">
      <c r="A12" s="4" t="inlineStr">
        <is>
          <t>Operating expenses</t>
        </is>
      </c>
    </row>
    <row r="13">
      <c r="A13" t="inlineStr">
        <is>
          <t>Marketing &amp; content (incl. launch)</t>
        </is>
      </c>
      <c r="B13" s="11">
        <f>Assumptions!B27</f>
        <v/>
      </c>
      <c r="C13" s="11">
        <f>Assumptions!C27</f>
        <v/>
      </c>
      <c r="D13" s="11">
        <f>Assumptions!D27</f>
        <v/>
      </c>
    </row>
    <row r="14">
      <c r="A14" t="inlineStr">
        <is>
          <t>Shipping &amp; fulfilment</t>
        </is>
      </c>
      <c r="B14" s="11">
        <f>Assumptions!B28</f>
        <v/>
      </c>
      <c r="C14" s="11">
        <f>Assumptions!C28</f>
        <v/>
      </c>
      <c r="D14" s="11">
        <f>Assumptions!D28</f>
        <v/>
      </c>
    </row>
    <row r="15">
      <c r="A15" t="inlineStr">
        <is>
          <t>Software &amp; store (Shopify, domain)</t>
        </is>
      </c>
      <c r="B15" s="11">
        <f>Assumptions!B29</f>
        <v/>
      </c>
      <c r="C15" s="11">
        <f>Assumptions!C29</f>
        <v/>
      </c>
      <c r="D15" s="11">
        <f>Assumptions!D29</f>
        <v/>
      </c>
    </row>
    <row r="16">
      <c r="A16" t="inlineStr">
        <is>
          <t>Personalization / engraving</t>
        </is>
      </c>
      <c r="B16" s="11">
        <f>Assumptions!B30</f>
        <v/>
      </c>
      <c r="C16" s="11">
        <f>Assumptions!C30</f>
        <v/>
      </c>
      <c r="D16" s="11">
        <f>Assumptions!D30</f>
        <v/>
      </c>
    </row>
    <row r="17">
      <c r="A17" t="inlineStr">
        <is>
          <t>Misc &amp; admin</t>
        </is>
      </c>
      <c r="B17" s="11">
        <f>Assumptions!B31</f>
        <v/>
      </c>
      <c r="C17" s="11">
        <f>Assumptions!C31</f>
        <v/>
      </c>
      <c r="D17" s="11">
        <f>Assumptions!D31</f>
        <v/>
      </c>
    </row>
    <row r="18">
      <c r="A18" t="inlineStr">
        <is>
          <t>Payment processing</t>
        </is>
      </c>
      <c r="B18">
        <f>B5*Assumptions!$B$32</f>
        <v/>
      </c>
      <c r="C18">
        <f>C5*Assumptions!$B$32</f>
        <v/>
      </c>
      <c r="D18">
        <f>D5*Assumptions!$B$32</f>
        <v/>
      </c>
    </row>
    <row r="19">
      <c r="A19" s="4" t="inlineStr">
        <is>
          <t>Total operating expenses</t>
        </is>
      </c>
      <c r="B19" s="4">
        <f>SUM(B13:B18)</f>
        <v/>
      </c>
      <c r="C19" s="4">
        <f>SUM(C13:C18)</f>
        <v/>
      </c>
      <c r="D19" s="4">
        <f>SUM(D13:D18)</f>
        <v/>
      </c>
    </row>
    <row r="20">
      <c r="A20" s="4" t="inlineStr">
        <is>
          <t>Operating profit (EBITDA)</t>
        </is>
      </c>
      <c r="B20" s="4">
        <f>B9-B19</f>
        <v/>
      </c>
      <c r="C20" s="4">
        <f>C9-C19</f>
        <v/>
      </c>
      <c r="D20" s="4">
        <f>D9-D19</f>
        <v/>
      </c>
    </row>
    <row r="21">
      <c r="A21" t="inlineStr">
        <is>
          <t>Operating margin %</t>
        </is>
      </c>
      <c r="B21" s="13">
        <f>B20/B7</f>
        <v/>
      </c>
      <c r="C21" s="13">
        <f>C20/C7</f>
        <v/>
      </c>
      <c r="D21" s="13">
        <f>D20/D7</f>
        <v/>
      </c>
    </row>
    <row r="23" ht="55" customHeight="1">
      <c r="A23" s="5" t="inlineStr">
        <is>
          <t>Note: with the corporate channel paused, Year-1 operating profit is materially smaller than the original model (which leaned on corporate for ~58% of Year-1 revenue). This is the honest DTC-only base case. See Break-even &amp; Scenarios for the corporate-resumption upside.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4" customWidth="1" min="14" max="14"/>
  </cols>
  <sheetData>
    <row r="1">
      <c r="A1" s="10" t="inlineStr">
        <is>
          <t>Cash Flow — Year 1 (monthly, AMD)</t>
        </is>
      </c>
    </row>
    <row r="2">
      <c r="A2" s="3" t="inlineStr">
        <is>
          <t>Opening = Assumptions!B9 · shows whether the runway ever goes negative with corporate paused</t>
        </is>
      </c>
    </row>
    <row r="4">
      <c r="A4" s="4" t="inlineStr">
        <is>
          <t>Line item</t>
        </is>
      </c>
      <c r="B4" s="4" t="inlineStr">
        <is>
          <t>M1</t>
        </is>
      </c>
      <c r="C4" s="4" t="inlineStr">
        <is>
          <t>M2</t>
        </is>
      </c>
      <c r="D4" s="4" t="inlineStr">
        <is>
          <t>M3</t>
        </is>
      </c>
      <c r="E4" s="4" t="inlineStr">
        <is>
          <t>M4</t>
        </is>
      </c>
      <c r="F4" s="4" t="inlineStr">
        <is>
          <t>M5</t>
        </is>
      </c>
      <c r="G4" s="4" t="inlineStr">
        <is>
          <t>M6</t>
        </is>
      </c>
      <c r="H4" s="4" t="inlineStr">
        <is>
          <t>M7</t>
        </is>
      </c>
      <c r="I4" s="4" t="inlineStr">
        <is>
          <t>M8</t>
        </is>
      </c>
      <c r="J4" s="4" t="inlineStr">
        <is>
          <t>M9</t>
        </is>
      </c>
      <c r="K4" s="4" t="inlineStr">
        <is>
          <t>M10</t>
        </is>
      </c>
      <c r="L4" s="4" t="inlineStr">
        <is>
          <t>M11</t>
        </is>
      </c>
      <c r="M4" s="4" t="inlineStr">
        <is>
          <t>M12</t>
        </is>
      </c>
      <c r="N4" s="4" t="inlineStr">
        <is>
          <t>Year 1</t>
        </is>
      </c>
    </row>
    <row r="5">
      <c r="A5" t="inlineStr">
        <is>
          <t>Revenue collected</t>
        </is>
      </c>
      <c r="B5" s="11">
        <f>'Revenue Build'!B9</f>
        <v/>
      </c>
      <c r="C5" s="11">
        <f>'Revenue Build'!C9</f>
        <v/>
      </c>
      <c r="D5" s="11">
        <f>'Revenue Build'!D9</f>
        <v/>
      </c>
      <c r="E5" s="11">
        <f>'Revenue Build'!E9</f>
        <v/>
      </c>
      <c r="F5" s="11">
        <f>'Revenue Build'!F9</f>
        <v/>
      </c>
      <c r="G5" s="11">
        <f>'Revenue Build'!G9</f>
        <v/>
      </c>
      <c r="H5" s="11">
        <f>'Revenue Build'!H9</f>
        <v/>
      </c>
      <c r="I5" s="11">
        <f>'Revenue Build'!I9</f>
        <v/>
      </c>
      <c r="J5" s="11">
        <f>'Revenue Build'!J9</f>
        <v/>
      </c>
      <c r="K5" s="11">
        <f>'Revenue Build'!K9</f>
        <v/>
      </c>
      <c r="L5" s="11">
        <f>'Revenue Build'!L9</f>
        <v/>
      </c>
      <c r="M5" s="11">
        <f>'Revenue Build'!M9</f>
        <v/>
      </c>
      <c r="N5">
        <f>SUM(B5:M5)</f>
        <v/>
      </c>
    </row>
    <row r="6">
      <c r="A6" t="inlineStr">
        <is>
          <t>less: COGS (cash)</t>
        </is>
      </c>
      <c r="B6">
        <f>-B5*Assumptions!$B$23</f>
        <v/>
      </c>
      <c r="C6">
        <f>-C5*Assumptions!$B$23</f>
        <v/>
      </c>
      <c r="D6">
        <f>-D5*Assumptions!$B$23</f>
        <v/>
      </c>
      <c r="E6">
        <f>-E5*Assumptions!$B$23</f>
        <v/>
      </c>
      <c r="F6">
        <f>-F5*Assumptions!$B$23</f>
        <v/>
      </c>
      <c r="G6">
        <f>-G5*Assumptions!$B$23</f>
        <v/>
      </c>
      <c r="H6">
        <f>-H5*Assumptions!$B$23</f>
        <v/>
      </c>
      <c r="I6">
        <f>-I5*Assumptions!$B$23</f>
        <v/>
      </c>
      <c r="J6">
        <f>-J5*Assumptions!$B$23</f>
        <v/>
      </c>
      <c r="K6">
        <f>-K5*Assumptions!$B$23</f>
        <v/>
      </c>
      <c r="L6">
        <f>-L5*Assumptions!$B$23</f>
        <v/>
      </c>
      <c r="M6">
        <f>-M5*Assumptions!$B$23</f>
        <v/>
      </c>
      <c r="N6">
        <f>SUM(B6:M6)</f>
        <v/>
      </c>
    </row>
    <row r="7">
      <c r="A7" t="inlineStr">
        <is>
          <t>less: operating expenses (spread evenly)</t>
        </is>
      </c>
      <c r="B7">
        <f>-'P&amp;L 3-Year'!$B$19/12</f>
        <v/>
      </c>
      <c r="C7">
        <f>-'P&amp;L 3-Year'!$B$19/12</f>
        <v/>
      </c>
      <c r="D7">
        <f>-'P&amp;L 3-Year'!$B$19/12</f>
        <v/>
      </c>
      <c r="E7">
        <f>-'P&amp;L 3-Year'!$B$19/12</f>
        <v/>
      </c>
      <c r="F7">
        <f>-'P&amp;L 3-Year'!$B$19/12</f>
        <v/>
      </c>
      <c r="G7">
        <f>-'P&amp;L 3-Year'!$B$19/12</f>
        <v/>
      </c>
      <c r="H7">
        <f>-'P&amp;L 3-Year'!$B$19/12</f>
        <v/>
      </c>
      <c r="I7">
        <f>-'P&amp;L 3-Year'!$B$19/12</f>
        <v/>
      </c>
      <c r="J7">
        <f>-'P&amp;L 3-Year'!$B$19/12</f>
        <v/>
      </c>
      <c r="K7">
        <f>-'P&amp;L 3-Year'!$B$19/12</f>
        <v/>
      </c>
      <c r="L7">
        <f>-'P&amp;L 3-Year'!$B$19/12</f>
        <v/>
      </c>
      <c r="M7">
        <f>-'P&amp;L 3-Year'!$B$19/12</f>
        <v/>
      </c>
      <c r="N7">
        <f>SUM(B7:M7)</f>
        <v/>
      </c>
    </row>
    <row r="8">
      <c r="A8" t="inlineStr">
        <is>
          <t>less: one-time setup (M1)</t>
        </is>
      </c>
      <c r="B8" s="11">
        <f>-Assumptions!B39</f>
        <v/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>
        <f>SUM(B8:M8)</f>
        <v/>
      </c>
    </row>
    <row r="9">
      <c r="A9" s="4" t="inlineStr">
        <is>
          <t>Net cash flow</t>
        </is>
      </c>
      <c r="B9" s="4">
        <f>SUM(B5:B8)</f>
        <v/>
      </c>
      <c r="C9" s="4">
        <f>SUM(C5:C8)</f>
        <v/>
      </c>
      <c r="D9" s="4">
        <f>SUM(D5:D8)</f>
        <v/>
      </c>
      <c r="E9" s="4">
        <f>SUM(E5:E8)</f>
        <v/>
      </c>
      <c r="F9" s="4">
        <f>SUM(F5:F8)</f>
        <v/>
      </c>
      <c r="G9" s="4">
        <f>SUM(G5:G8)</f>
        <v/>
      </c>
      <c r="H9" s="4">
        <f>SUM(H5:H8)</f>
        <v/>
      </c>
      <c r="I9" s="4">
        <f>SUM(I5:I8)</f>
        <v/>
      </c>
      <c r="J9" s="4">
        <f>SUM(J5:J8)</f>
        <v/>
      </c>
      <c r="K9" s="4">
        <f>SUM(K5:K8)</f>
        <v/>
      </c>
      <c r="L9" s="4">
        <f>SUM(L5:L8)</f>
        <v/>
      </c>
      <c r="M9" s="4">
        <f>SUM(M5:M8)</f>
        <v/>
      </c>
      <c r="N9" s="4">
        <f>SUM(B9:M9)</f>
        <v/>
      </c>
    </row>
    <row r="10">
      <c r="A10" t="inlineStr">
        <is>
          <t>Opening cash</t>
        </is>
      </c>
      <c r="B10" s="11">
        <f>Assumptions!B9</f>
        <v/>
      </c>
      <c r="C10">
        <f>B11</f>
        <v/>
      </c>
      <c r="D10">
        <f>C11</f>
        <v/>
      </c>
      <c r="E10">
        <f>D11</f>
        <v/>
      </c>
      <c r="F10">
        <f>E11</f>
        <v/>
      </c>
      <c r="G10">
        <f>F11</f>
        <v/>
      </c>
      <c r="H10">
        <f>G11</f>
        <v/>
      </c>
      <c r="I10">
        <f>H11</f>
        <v/>
      </c>
      <c r="J10">
        <f>I11</f>
        <v/>
      </c>
      <c r="K10">
        <f>J11</f>
        <v/>
      </c>
      <c r="L10">
        <f>K11</f>
        <v/>
      </c>
      <c r="M10">
        <f>L11</f>
        <v/>
      </c>
    </row>
    <row r="11">
      <c r="A11" s="4" t="inlineStr">
        <is>
          <t>Closing cash</t>
        </is>
      </c>
      <c r="B11" s="4">
        <f>B10+B9</f>
        <v/>
      </c>
      <c r="C11" s="4">
        <f>C10+C9</f>
        <v/>
      </c>
      <c r="D11" s="4">
        <f>D10+D9</f>
        <v/>
      </c>
      <c r="E11" s="4">
        <f>E10+E9</f>
        <v/>
      </c>
      <c r="F11" s="4">
        <f>F10+F9</f>
        <v/>
      </c>
      <c r="G11" s="4">
        <f>G10+G9</f>
        <v/>
      </c>
      <c r="H11" s="4">
        <f>H10+H9</f>
        <v/>
      </c>
      <c r="I11" s="4">
        <f>I10+I9</f>
        <v/>
      </c>
      <c r="J11" s="4">
        <f>J10+J9</f>
        <v/>
      </c>
      <c r="K11" s="4">
        <f>K10+K9</f>
        <v/>
      </c>
      <c r="L11" s="4">
        <f>L10+L9</f>
        <v/>
      </c>
      <c r="M11" s="4">
        <f>M10+M9</f>
        <v/>
      </c>
    </row>
    <row r="13">
      <c r="A13" s="4" t="inlineStr">
        <is>
          <t>Minimum closing cash (Y1)</t>
        </is>
      </c>
      <c r="B13" s="4">
        <f>MIN(B11:M11)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</cols>
  <sheetData>
    <row r="1">
      <c r="A1" s="10" t="inlineStr">
        <is>
          <t>Break-even &amp; Scenarios</t>
        </is>
      </c>
    </row>
    <row r="2">
      <c r="A2" s="3" t="inlineStr">
        <is>
          <t>What it takes to cover costs, and the corporate-resumption upside</t>
        </is>
      </c>
    </row>
    <row r="4">
      <c r="A4" s="4" t="inlineStr">
        <is>
          <t>BREAK-EVEN (year 1 basis, DTC-only base case)</t>
        </is>
      </c>
    </row>
    <row r="5">
      <c r="A5" t="inlineStr">
        <is>
          <t>Annual fixed operating expenses</t>
        </is>
      </c>
      <c r="B5" s="11">
        <f>'P&amp;L 3-Year'!B19</f>
        <v/>
      </c>
    </row>
    <row r="6">
      <c r="A6" t="inlineStr">
        <is>
          <t>Blended gross margin %</t>
        </is>
      </c>
      <c r="B6" s="13">
        <f>'P&amp;L 3-Year'!B9/'P&amp;L 3-Year'!B7</f>
        <v/>
      </c>
    </row>
    <row r="7">
      <c r="A7" t="inlineStr">
        <is>
          <t>Break-even revenue (annual)</t>
        </is>
      </c>
      <c r="B7">
        <f>B5/B6</f>
        <v/>
      </c>
    </row>
    <row r="8">
      <c r="A8" t="inlineStr">
        <is>
          <t>Projected Year-1 revenue (DTC-only base case)</t>
        </is>
      </c>
      <c r="B8" s="11">
        <f>'P&amp;L 3-Year'!B7</f>
        <v/>
      </c>
    </row>
    <row r="9">
      <c r="A9" t="inlineStr">
        <is>
          <t>Revenue cushion above break-even</t>
        </is>
      </c>
      <c r="B9">
        <f>B8-B7</f>
        <v/>
      </c>
    </row>
    <row r="11">
      <c r="A11" s="4" t="inlineStr">
        <is>
          <t>SCENARIOS (year 1, DTC-only base case)</t>
        </is>
      </c>
    </row>
    <row r="12">
      <c r="A12" s="4" t="inlineStr">
        <is>
          <t>Metric</t>
        </is>
      </c>
      <c r="B12" s="4" t="inlineStr">
        <is>
          <t>Conservative</t>
        </is>
      </c>
      <c r="C12" s="4" t="inlineStr">
        <is>
          <t>Base</t>
        </is>
      </c>
      <c r="D12" s="4" t="inlineStr">
        <is>
          <t>Upside</t>
        </is>
      </c>
    </row>
    <row r="13">
      <c r="A13" t="inlineStr">
        <is>
          <t>Revenue vs base (lever)</t>
        </is>
      </c>
      <c r="B13" s="7" t="n">
        <v>0.6</v>
      </c>
      <c r="C13" s="7" t="n">
        <v>1</v>
      </c>
      <c r="D13" s="7" t="n">
        <v>1.5</v>
      </c>
    </row>
    <row r="14">
      <c r="A14" t="inlineStr">
        <is>
          <t>Total revenue</t>
        </is>
      </c>
      <c r="B14">
        <f>'P&amp;L 3-Year'!$B$7*B13</f>
        <v/>
      </c>
      <c r="C14">
        <f>'P&amp;L 3-Year'!$B$7*C13</f>
        <v/>
      </c>
      <c r="D14">
        <f>'P&amp;L 3-Year'!$B$7*D13</f>
        <v/>
      </c>
    </row>
    <row r="15">
      <c r="A15" t="inlineStr">
        <is>
          <t>Operating profit (approx., same opex)</t>
        </is>
      </c>
      <c r="B15">
        <f>B14*B6-B5</f>
        <v/>
      </c>
      <c r="C15">
        <f>C14*B6-B5</f>
        <v/>
      </c>
      <c r="D15">
        <f>D14*B6-B5</f>
        <v/>
      </c>
    </row>
    <row r="17">
      <c r="A17" s="9" t="inlineStr">
        <is>
          <t>⚠ CORPORATE-RESUMPTION MEMO (Nairi Insurance, currently paused)</t>
        </is>
      </c>
    </row>
    <row r="18">
      <c r="A18" t="inlineStr">
        <is>
          <t>If the 500-unit programme resumes at the modeled bulk price:</t>
        </is>
      </c>
    </row>
    <row r="19">
      <c r="A19" t="inlineStr">
        <is>
          <t>Additional revenue (500 units)</t>
        </is>
      </c>
      <c r="B19">
        <f>Assumptions!B15*Assumptions!B14</f>
        <v/>
      </c>
    </row>
    <row r="20">
      <c r="A20" t="inlineStr">
        <is>
          <t>Additional gross profit (@ modeled corporate GM%)</t>
        </is>
      </c>
      <c r="B20">
        <f>'Unit Economics'!E19*Assumptions!B15</f>
        <v/>
      </c>
    </row>
    <row r="22" ht="40" customHeight="1">
      <c r="A22" s="5" t="inlineStr">
        <is>
          <t>This scenario is a memo, not a forecast — do not present the corporate-resumption figures as committed revenue anywhere external until Nairi actually restarts the programme.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2026-08-02T23:21:17Z</dcterms:created>
  <dcterms:modified xmlns:dcterms="http://purl.org/dc/terms/" xmlns:xsi="http://www.w3.org/2001/XMLSchema-instance" xsi:type="dcterms:W3CDTF">2026-08-02T23:21:17Z</dcterms:modified>
</cp:coreProperties>
</file>